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E16A4CA-F5F4-4FC9-B0B2-FE85D05487AB}" xr6:coauthVersionLast="47" xr6:coauthVersionMax="47" xr10:uidLastSave="{00000000-0000-0000-0000-000000000000}"/>
  <bookViews>
    <workbookView xWindow="17130" yWindow="915" windowWidth="17085" windowHeight="14400" firstSheet="1" activeTab="1" xr2:uid="{00000000-000D-0000-FFFF-FFFF00000000}"/>
  </bookViews>
  <sheets>
    <sheet name="Budgets" sheetId="1" r:id="rId1"/>
    <sheet name="BudgetSummary" sheetId="2" r:id="rId2"/>
    <sheet name="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2" i="2"/>
  <c r="F11" i="2"/>
</calcChain>
</file>

<file path=xl/sharedStrings.xml><?xml version="1.0" encoding="utf-8"?>
<sst xmlns="http://schemas.openxmlformats.org/spreadsheetml/2006/main" count="80" uniqueCount="65">
  <si>
    <t>BudgetID</t>
  </si>
  <si>
    <t>Department</t>
  </si>
  <si>
    <t>Accounting/Finance</t>
  </si>
  <si>
    <t>Mary</t>
  </si>
  <si>
    <t>Marketing</t>
  </si>
  <si>
    <t>Joey</t>
  </si>
  <si>
    <t>Business Development</t>
  </si>
  <si>
    <t>Operations/Production</t>
  </si>
  <si>
    <t>Paul</t>
  </si>
  <si>
    <t>Field Operations</t>
  </si>
  <si>
    <t>Troy</t>
  </si>
  <si>
    <t>Corporate Budget</t>
  </si>
  <si>
    <t>Precon</t>
  </si>
  <si>
    <t>Wes</t>
  </si>
  <si>
    <t>Committees</t>
  </si>
  <si>
    <t>Human Resources</t>
  </si>
  <si>
    <t>Demo Company</t>
  </si>
  <si>
    <t>Maureen</t>
  </si>
  <si>
    <t xml:space="preserve">Health &amp; Wellness </t>
  </si>
  <si>
    <t>Brendan</t>
  </si>
  <si>
    <t xml:space="preserve">Safety </t>
  </si>
  <si>
    <t xml:space="preserve">Troy </t>
  </si>
  <si>
    <t xml:space="preserve">Field </t>
  </si>
  <si>
    <t>Training/Education</t>
  </si>
  <si>
    <t xml:space="preserve">Micah </t>
  </si>
  <si>
    <t xml:space="preserve">Philanthropy </t>
  </si>
  <si>
    <t>Jennifer</t>
  </si>
  <si>
    <t xml:space="preserve">Technology </t>
  </si>
  <si>
    <t>Micah/Chuck</t>
  </si>
  <si>
    <t>Trade Partners</t>
  </si>
  <si>
    <t>Culture Committee</t>
  </si>
  <si>
    <t>Budget</t>
  </si>
  <si>
    <t>Department Head</t>
  </si>
  <si>
    <t>Micah</t>
  </si>
  <si>
    <t>Department/Committee</t>
  </si>
  <si>
    <t xml:space="preserve">Fiscal Year </t>
  </si>
  <si>
    <t>ItemID</t>
  </si>
  <si>
    <t>Items</t>
  </si>
  <si>
    <t>Category</t>
  </si>
  <si>
    <t>GLAcct</t>
  </si>
  <si>
    <t>GLDescription</t>
  </si>
  <si>
    <t>Annual 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</si>
  <si>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</si>
  <si>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</si>
  <si>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</si>
  <si>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</si>
  <si>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</si>
  <si>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</si>
  <si>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</si>
  <si>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</si>
  <si>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</si>
  <si>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</si>
  <si>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</si>
  <si>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</si>
  <si>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Payroll w/ Burden</t>
  </si>
  <si>
    <t>OH</t>
  </si>
  <si>
    <t>Payroll Burden</t>
  </si>
  <si>
    <t>Bonuses</t>
  </si>
  <si>
    <t>Raises</t>
  </si>
  <si>
    <t>Test… Replace with Budget item</t>
  </si>
  <si>
    <t>Expense</t>
  </si>
  <si>
    <t>Training</t>
  </si>
  <si>
    <t>Capital Expense</t>
  </si>
  <si>
    <t>Fixed Cost</t>
  </si>
  <si>
    <t>Office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</si>
</sst>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0" fontId="3" fillId="3" borderId="0"/>
  </cellStyleXfs>
  <cellXfs count="12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43" fontId="0" fillId="0" borderId="0" xfId="1" applyFont="1"/>
    <xf numFmtId="1" fontId="0" fillId="0" borderId="0" xfId="1" applyNumberFormat="1" applyFont="1"/>
    <xf numFmtId="1" fontId="0" fillId="0" borderId="0" xfId="1" applyNumberFormat="1" applyFont="1" applyAlignment="1">
      <alignment horizontal="center"/>
    </xf>
    <xf numFmtId="0" fontId="0" fillId="2" borderId="0" xfId="0" applyFill="1"/>
    <xf numFmtId="2" fontId="0" fillId="0" borderId="0" xfId="0" applyNumberFormat="1"/>
    <xf numFmtId="0" fontId="3" fillId="3" borderId="0" xfId="2"/>
    <xf numFmtId="0" fontId="3" fillId="3" borderId="0" xfId="2" applyAlignment="1">
      <alignment horizontal="left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29" sqref="B29"/>
    </sheetView>
  </sheetViews>
  <sheetFormatPr defaultRowHeight="15"/>
  <cols>
    <col min="2" max="2" width="22.28515625" customWidth="1"/>
    <col min="3" max="3" width="17.28515625" customWidth="1"/>
  </cols>
  <sheetData>
    <row r="1" spans="1:3">
      <c r="A1" s="8" t="s">
        <v>0</v>
      </c>
      <c r="B1" s="8" t="s">
        <v>1</v>
      </c>
    </row>
    <row r="2" spans="1:3">
      <c r="A2">
        <v>1</v>
      </c>
      <c r="B2" t="s">
        <v>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B4" t="s">
        <v>6</v>
      </c>
      <c r="C4" t="s">
        <v>5</v>
      </c>
    </row>
    <row r="5" spans="1:3">
      <c r="A5">
        <v>4</v>
      </c>
      <c r="B5" t="s">
        <v>7</v>
      </c>
      <c r="C5" t="s">
        <v>8</v>
      </c>
    </row>
    <row r="6" spans="1:3">
      <c r="A6">
        <v>5</v>
      </c>
      <c r="B6" t="s">
        <v>9</v>
      </c>
      <c r="C6" t="s">
        <v>10</v>
      </c>
    </row>
    <row r="7" spans="1:3">
      <c r="A7">
        <v>6</v>
      </c>
      <c r="B7" t="s">
        <v>11</v>
      </c>
      <c r="C7" t="s">
        <v>3</v>
      </c>
    </row>
    <row r="8" spans="1:3">
      <c r="A8">
        <v>15</v>
      </c>
      <c r="B8" t="s">
        <v>12</v>
      </c>
      <c r="C8" t="s">
        <v>13</v>
      </c>
    </row>
    <row r="10" spans="1:3">
      <c r="A10" s="8"/>
      <c r="B10" s="8" t="s">
        <v>14</v>
      </c>
    </row>
    <row r="11" spans="1:3">
      <c r="A11">
        <v>7</v>
      </c>
      <c r="B11" t="s">
        <v>15</v>
      </c>
      <c r="C11" t="s">
        <v>3</v>
      </c>
    </row>
    <row r="12" spans="1:3">
      <c r="A12">
        <v>8</v>
      </c>
      <c r="B12" t="s">
        <v>16</v>
      </c>
      <c r="C12" t="s">
        <v>17</v>
      </c>
    </row>
    <row r="13" spans="1:3">
      <c r="A13">
        <v>9</v>
      </c>
      <c r="B13" t="s">
        <v>18</v>
      </c>
      <c r="C13" t="s">
        <v>19</v>
      </c>
    </row>
    <row r="14" spans="1:3">
      <c r="A14">
        <v>10</v>
      </c>
      <c r="B14" t="s">
        <v>20</v>
      </c>
      <c r="C14" t="s">
        <v>21</v>
      </c>
    </row>
    <row r="15" spans="1:3">
      <c r="A15">
        <v>11</v>
      </c>
      <c r="B15" t="s">
        <v>22</v>
      </c>
      <c r="C15" t="s">
        <v>21</v>
      </c>
    </row>
    <row r="16" spans="1:3">
      <c r="A16">
        <v>12</v>
      </c>
      <c r="B16" t="s">
        <v>23</v>
      </c>
      <c r="C16" t="s">
        <v>24</v>
      </c>
    </row>
    <row r="17" spans="1:3">
      <c r="A17">
        <v>13</v>
      </c>
      <c r="B17" t="s">
        <v>25</v>
      </c>
      <c r="C17" t="s">
        <v>26</v>
      </c>
    </row>
    <row r="18" spans="1:3">
      <c r="A18">
        <v>14</v>
      </c>
      <c r="B18" t="s">
        <v>27</v>
      </c>
      <c r="C18" t="s">
        <v>28</v>
      </c>
    </row>
    <row r="19" spans="1:3">
      <c r="A19">
        <v>16</v>
      </c>
      <c r="B19" t="s">
        <v>29</v>
      </c>
      <c r="C19" t="s">
        <v>13</v>
      </c>
    </row>
    <row r="20" spans="1:3">
      <c r="A20">
        <v>17</v>
      </c>
      <c r="B20" t="s">
        <v>30</v>
      </c>
      <c r="C2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tabSelected="1" workbookViewId="0">
      <selection activeCell="B11" sqref="B11"/>
    </sheetView>
  </sheetViews>
  <sheetFormatPr defaultRowHeight="15"/>
  <cols>
    <col min="1" max="1" width="25.7109375" customWidth="1"/>
    <col min="2" max="2" width="35.7109375" customWidth="1"/>
    <col min="3" max="4" width="15.85546875" customWidth="1"/>
    <col min="5" max="5" width="17.7109375" customWidth="1"/>
    <col min="6" max="6" width="17" customWidth="1"/>
  </cols>
  <sheetData>
    <row r="1" spans="1:21">
      <c r="A1" s="1" t="s">
        <v>31</v>
      </c>
      <c r="B1" s="11" t="s">
        <v>23</v>
      </c>
      <c r="C1" t="s">
        <v>0</v>
      </c>
      <c r="D1" s="10">
        <v>12</v>
      </c>
    </row>
    <row r="2" spans="1:21">
      <c r="A2" s="1" t="s">
        <v>32</v>
      </c>
      <c r="B2" s="11" t="s">
        <v>33</v>
      </c>
    </row>
    <row r="3" spans="1:21">
      <c r="A3" s="1" t="s">
        <v>34</v>
      </c>
      <c r="B3" s="1" t="s">
        <v>1</v>
      </c>
    </row>
    <row r="4" spans="1:21">
      <c r="A4" s="1" t="s">
        <v>35</v>
      </c>
      <c r="B4" s="11">
        <v>2025</v>
      </c>
    </row>
    <row r="6" spans="1:21">
      <c r="A6" s="3" t="s">
        <v>36</v>
      </c>
      <c r="B6" s="3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  <c r="M6" s="4" t="s">
        <v>48</v>
      </c>
      <c r="N6" s="4" t="s">
        <v>49</v>
      </c>
      <c r="O6" s="4" t="s">
        <v>50</v>
      </c>
      <c r="P6" s="4" t="s">
        <v>51</v>
      </c>
      <c r="Q6" s="4" t="s">
        <v>52</v>
      </c>
      <c r="R6" s="4" t="s">
        <v>53</v>
      </c>
      <c r="S6" s="4"/>
      <c r="T6" s="4"/>
      <c r="U6" s="4"/>
    </row>
    <row r="7" spans="1:21">
      <c r="A7" s="1">
        <v>1</v>
      </c>
      <c r="B7" s="1" t="s">
        <v>54</v>
      </c>
      <c r="C7" s="6" t="s">
        <v>55</v>
      </c>
      <c r="E7" s="5"/>
      <c r="F7">
        <v>0</v>
      </c>
    </row>
    <row r="8" spans="1:21">
      <c r="A8" s="1">
        <v>2</v>
      </c>
      <c r="B8" s="1" t="s">
        <v>56</v>
      </c>
      <c r="C8" s="6" t="s">
        <v>55</v>
      </c>
      <c r="E8" s="5"/>
    </row>
    <row r="9" spans="1:21">
      <c r="A9" s="1">
        <v>3</v>
      </c>
      <c r="B9" s="1" t="s">
        <v>57</v>
      </c>
      <c r="C9" s="6" t="s">
        <v>55</v>
      </c>
      <c r="E9" s="5"/>
    </row>
    <row r="10" spans="1:21">
      <c r="A10" s="1">
        <v>4</v>
      </c>
      <c r="B10" s="1" t="s">
        <v>58</v>
      </c>
      <c r="C10" s="6" t="s">
        <v>55</v>
      </c>
      <c r="E10" s="5"/>
    </row>
    <row r="11" spans="1:21">
      <c r="A11" s="1">
        <v>5</v>
      </c>
      <c r="B11" s="1" t="s">
        <v>59</v>
      </c>
      <c r="C11" s="7" t="s">
        <v>60</v>
      </c>
      <c r="D11">
        <v>6500</v>
      </c>
      <c r="E11" s="5" t="s">
        <v>61</v>
      </c>
      <c r="F11">
        <f>SUM(G11:R11)</f>
        <v>22761.999999999989</v>
      </c>
      <c r="G11" s="9">
        <v>1896.833333333333</v>
      </c>
      <c r="H11" s="9">
        <v>1896.833333333333</v>
      </c>
      <c r="I11" s="9">
        <v>1896.833333333333</v>
      </c>
      <c r="J11" s="9">
        <v>1896.833333333333</v>
      </c>
      <c r="K11" s="9">
        <v>1896.833333333333</v>
      </c>
      <c r="L11" s="9">
        <v>1896.833333333333</v>
      </c>
      <c r="M11" s="9">
        <v>1896.833333333333</v>
      </c>
      <c r="N11" s="9">
        <v>1896.833333333333</v>
      </c>
      <c r="O11" s="9">
        <v>1896.833333333333</v>
      </c>
      <c r="P11" s="9">
        <v>1896.833333333333</v>
      </c>
      <c r="Q11" s="9">
        <v>1896.833333333333</v>
      </c>
      <c r="R11" s="9">
        <v>1896.833333333333</v>
      </c>
    </row>
    <row r="12" spans="1:21">
      <c r="A12" s="1">
        <v>6</v>
      </c>
      <c r="B12" s="1" t="s">
        <v>59</v>
      </c>
      <c r="C12" s="7" t="s">
        <v>62</v>
      </c>
      <c r="D12">
        <v>6500</v>
      </c>
      <c r="E12" s="5" t="s">
        <v>61</v>
      </c>
      <c r="F12" s="9">
        <f>SUM(G12:R12)</f>
        <v>14750.000000000007</v>
      </c>
      <c r="G12" s="9">
        <v>1229.166666666667</v>
      </c>
      <c r="H12" s="9">
        <v>1229.166666666667</v>
      </c>
      <c r="I12" s="9">
        <v>1229.166666666667</v>
      </c>
      <c r="J12" s="9">
        <v>1229.166666666667</v>
      </c>
      <c r="K12" s="9">
        <v>1229.166666666667</v>
      </c>
      <c r="L12" s="9">
        <v>1229.166666666667</v>
      </c>
      <c r="M12" s="9">
        <v>1229.166666666667</v>
      </c>
      <c r="N12" s="9">
        <v>1229.166666666667</v>
      </c>
      <c r="O12" s="9">
        <v>1229.166666666667</v>
      </c>
      <c r="P12" s="9">
        <v>1229.166666666667</v>
      </c>
      <c r="Q12" s="9">
        <v>1229.166666666667</v>
      </c>
      <c r="R12" s="9">
        <v>1229.166666666667</v>
      </c>
    </row>
    <row r="13" spans="1:21">
      <c r="A13" s="1">
        <v>7</v>
      </c>
      <c r="B13" s="1" t="s">
        <v>59</v>
      </c>
      <c r="C13" s="7" t="s">
        <v>63</v>
      </c>
      <c r="D13">
        <v>7300</v>
      </c>
      <c r="E13" s="5" t="s">
        <v>64</v>
      </c>
      <c r="F13" s="9">
        <f>SUM(G13:R13)</f>
        <v>6999.9999999999991</v>
      </c>
      <c r="G13" s="9">
        <v>583.33333333333337</v>
      </c>
      <c r="H13" s="9">
        <v>583.33333333333337</v>
      </c>
      <c r="I13" s="9">
        <v>583.33333333333337</v>
      </c>
      <c r="J13" s="9">
        <v>583.33333333333337</v>
      </c>
      <c r="K13" s="9">
        <v>583.33333333333337</v>
      </c>
      <c r="L13" s="9">
        <v>583.33333333333337</v>
      </c>
      <c r="M13" s="9">
        <v>583.33333333333337</v>
      </c>
      <c r="N13" s="9">
        <v>583.33333333333337</v>
      </c>
      <c r="O13" s="9">
        <v>583.33333333333337</v>
      </c>
      <c r="P13" s="9">
        <v>583.33333333333337</v>
      </c>
      <c r="Q13" s="9">
        <v>583.33333333333337</v>
      </c>
      <c r="R13" s="9">
        <v>583.33333333333337</v>
      </c>
    </row>
    <row r="14" spans="1:21">
      <c r="B14" s="2"/>
      <c r="C14" s="7"/>
      <c r="E14" s="5"/>
    </row>
    <row r="15" spans="1:21">
      <c r="A15" s="1"/>
      <c r="B15" s="7"/>
      <c r="D15" s="5"/>
    </row>
    <row r="16" spans="1:21">
      <c r="A16" s="1"/>
      <c r="B16" s="7"/>
      <c r="D16" s="5"/>
    </row>
    <row r="17" spans="1:4">
      <c r="A17" s="1"/>
      <c r="B17" s="7"/>
      <c r="D17" s="5"/>
    </row>
    <row r="18" spans="1:4">
      <c r="A18" s="1"/>
      <c r="B18" s="7"/>
      <c r="D18" s="5"/>
    </row>
    <row r="19" spans="1:4">
      <c r="A19" s="1"/>
      <c r="B19" s="7"/>
      <c r="D1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D22B279C0924EB884D9BD4EA8F75A" ma:contentTypeVersion="10" ma:contentTypeDescription="Create a new document." ma:contentTypeScope="" ma:versionID="90f20bb37788d9b8e57d11cd97ff51c2">
  <xsd:schema xmlns:xsd="http://www.w3.org/2001/XMLSchema" xmlns:xs="http://www.w3.org/2001/XMLSchema" xmlns:p="http://schemas.microsoft.com/office/2006/metadata/properties" xmlns:ns2="ecffe2c7-8d61-464d-990f-ccea543da5b9" xmlns:ns3="25aa9058-ab14-42c0-a929-b22a962038d0" targetNamespace="http://schemas.microsoft.com/office/2006/metadata/properties" ma:root="true" ma:fieldsID="11ad633cd548c6c62181705de945f092" ns2:_="" ns3:_="">
    <xsd:import namespace="ecffe2c7-8d61-464d-990f-ccea543da5b9"/>
    <xsd:import namespace="25aa9058-ab14-42c0-a929-b22a962038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fe2c7-8d61-464d-990f-ccea543da5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a2d2be-cbcb-4c59-9cf8-a97e5a901d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a9058-ab14-42c0-a929-b22a962038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ff8598-abb5-4132-8e31-57df80a772d7}" ma:internalName="TaxCatchAll" ma:showField="CatchAllData" ma:web="25aa9058-ab14-42c0-a929-b22a962038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fe2c7-8d61-464d-990f-ccea543da5b9">
      <Terms xmlns="http://schemas.microsoft.com/office/infopath/2007/PartnerControls"/>
    </lcf76f155ced4ddcb4097134ff3c332f>
    <TaxCatchAll xmlns="25aa9058-ab14-42c0-a929-b22a962038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5C200-8580-4BFF-9770-366408DEB8AF}"/>
</file>

<file path=customXml/itemProps2.xml><?xml version="1.0" encoding="utf-8"?>
<ds:datastoreItem xmlns:ds="http://schemas.openxmlformats.org/officeDocument/2006/customXml" ds:itemID="{644F6288-861B-444B-8AA8-113A9C887B74}"/>
</file>

<file path=customXml/itemProps3.xml><?xml version="1.0" encoding="utf-8"?>
<ds:datastoreItem xmlns:ds="http://schemas.openxmlformats.org/officeDocument/2006/customXml" ds:itemID="{583981B2-FED9-4CDC-864A-258204956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Hanlon</dc:creator>
  <cp:keywords/>
  <dc:description/>
  <cp:lastModifiedBy/>
  <cp:revision/>
  <dcterms:created xsi:type="dcterms:W3CDTF">2025-08-11T12:57:22Z</dcterms:created>
  <dcterms:modified xsi:type="dcterms:W3CDTF">2026-04-17T13:54:26Z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14.6</vt:lpwstr>
  </property>
  <property fmtid="{D5CDD505-2E9C-101B-9397-08002B2CF9AE}" pid="3" name="ContentTypeId">
    <vt:lpwstr>0x010100A96D22B279C0924EB884D9BD4EA8F75A</vt:lpwstr>
  </property>
  <property fmtid="{D5CDD505-2E9C-101B-9397-08002B2CF9AE}" pid="4" name="MediaServiceImageTags">
    <vt:lpwstr/>
  </property>
</Properties>
</file>